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 Details" sheetId="1" r:id="rId5"/>
    <sheet state="visible" name="Appointment Details" sheetId="2" r:id="rId6"/>
    <sheet state="visible" name="Billing" sheetId="3" r:id="rId7"/>
    <sheet state="visible" name="Daily Revenue" sheetId="4" r:id="rId8"/>
    <sheet state="visible" name="Sheet11" sheetId="5" r:id="rId9"/>
  </sheets>
  <definedNames/>
  <calcPr/>
</workbook>
</file>

<file path=xl/sharedStrings.xml><?xml version="1.0" encoding="utf-8"?>
<sst xmlns="http://schemas.openxmlformats.org/spreadsheetml/2006/main" count="98" uniqueCount="61">
  <si>
    <t>Doctor ID</t>
  </si>
  <si>
    <t>Doctor Name</t>
  </si>
  <si>
    <t>Department</t>
  </si>
  <si>
    <t>Consultation Fee (Rs)</t>
  </si>
  <si>
    <t>DOC01</t>
  </si>
  <si>
    <t>Dr. Ali</t>
  </si>
  <si>
    <t>Cardiology</t>
  </si>
  <si>
    <t>DOC02</t>
  </si>
  <si>
    <t>Dr. Sara</t>
  </si>
  <si>
    <t>Dermatology</t>
  </si>
  <si>
    <t>DOC03</t>
  </si>
  <si>
    <t>Dr. Nadia</t>
  </si>
  <si>
    <t>Orthopedics</t>
  </si>
  <si>
    <t>DOC04</t>
  </si>
  <si>
    <t>Dr. Kamran</t>
  </si>
  <si>
    <t>Neurology</t>
  </si>
  <si>
    <t>DOC05</t>
  </si>
  <si>
    <t>Dr. Farah</t>
  </si>
  <si>
    <t>Gynecology</t>
  </si>
  <si>
    <t>DOC06</t>
  </si>
  <si>
    <t>Dr. Zain</t>
  </si>
  <si>
    <t>ENT</t>
  </si>
  <si>
    <t>DOC07</t>
  </si>
  <si>
    <t>Dr. Hina</t>
  </si>
  <si>
    <t>Ophthalmology</t>
  </si>
  <si>
    <t>DOC08</t>
  </si>
  <si>
    <t>Dr. Usman</t>
  </si>
  <si>
    <t>Psychiatry</t>
  </si>
  <si>
    <t>Appointment ID</t>
  </si>
  <si>
    <t>Patient Name</t>
  </si>
  <si>
    <t>Appointment Date</t>
  </si>
  <si>
    <t>Appointment Time</t>
  </si>
  <si>
    <t>Arrival Time</t>
  </si>
  <si>
    <t xml:space="preserve">Delay (mins) </t>
  </si>
  <si>
    <t>Status</t>
  </si>
  <si>
    <t>A0001</t>
  </si>
  <si>
    <t>Ali Khan</t>
  </si>
  <si>
    <t>A0002</t>
  </si>
  <si>
    <t>Sara Ahmed</t>
  </si>
  <si>
    <t>A0003</t>
  </si>
  <si>
    <t>Usman Raza</t>
  </si>
  <si>
    <t>A0004</t>
  </si>
  <si>
    <t>Ayesha Noor</t>
  </si>
  <si>
    <t>A0005</t>
  </si>
  <si>
    <t>Hamza Ali</t>
  </si>
  <si>
    <t>A0006</t>
  </si>
  <si>
    <t>Hira Khan</t>
  </si>
  <si>
    <t>A0007</t>
  </si>
  <si>
    <t>Bilal Ahmed</t>
  </si>
  <si>
    <t>A0008</t>
  </si>
  <si>
    <t>Sana Iqbal</t>
  </si>
  <si>
    <t>A0009</t>
  </si>
  <si>
    <t>Farhan Malik</t>
  </si>
  <si>
    <t>A0010</t>
  </si>
  <si>
    <t>Nadia Hussain</t>
  </si>
  <si>
    <t>Doctor Fee</t>
  </si>
  <si>
    <t>Total Bill</t>
  </si>
  <si>
    <t>Date</t>
  </si>
  <si>
    <t>Total Patients</t>
  </si>
  <si>
    <t>Total Revenue</t>
  </si>
  <si>
    <t>Total Revenue (Rs)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</si>
</sst>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46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49" xfId="0" applyFont="1" applyNumberFormat="1"/>
    <xf borderId="0" fillId="0" fontId="1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5">
    <tableStyle count="4" pivot="0" name="Doctor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ointment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ll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Reven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Patients and Total Revenue (Rs)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Sheet11!$C$1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Sheet11!$A$2:$A$9</c:f>
            </c:strRef>
          </c:cat>
          <c:val>
            <c:numRef>
              <c:f>Sheet11!$C$2:$C$9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1485900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" displayName="Table1" name="Table1" id="1">
  <tableColumns count="4">
    <tableColumn name="Doctor ID" id="1"/>
    <tableColumn name="Doctor Name" id="2"/>
    <tableColumn name="Department" id="3"/>
    <tableColumn name="Consultation Fee (Rs)" id="4"/>
  </tableColumns>
  <tableStyleInfo name="Doctor Details-style" showColumnStripes="0" showFirstColumn="1" showLastColumn="1" showRowStripes="1"/>
</table>
</file>

<file path=xl/tables/table2.xml><?xml version="1.0" encoding="utf-8"?>
<table xmlns="http://schemas.openxmlformats.org/spreadsheetml/2006/main" ref="A1:H11" displayName="Table2" name="Table2" id="2">
  <tableColumns count="8">
    <tableColumn name="Appointment ID" id="1"/>
    <tableColumn name="Patient Name" id="2"/>
    <tableColumn name="Doctor ID" id="3"/>
    <tableColumn name="Appointment Date" id="4"/>
    <tableColumn name="Appointment Time" id="5"/>
    <tableColumn name="Arrival Time" id="6"/>
    <tableColumn name="Delay (mins) " id="7"/>
    <tableColumn name="Status" id="8"/>
  </tableColumns>
  <tableStyleInfo name="Appointment Details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e3" name="Table3" id="3">
  <tableColumns count="6">
    <tableColumn name="Appointment ID" id="1"/>
    <tableColumn name="Appointment Date" id="2"/>
    <tableColumn name="Patient Name" id="3"/>
    <tableColumn name="Doctor ID" id="4"/>
    <tableColumn name="Doctor Fee" id="5"/>
    <tableColumn name="Total Bill" id="6"/>
  </tableColumns>
  <tableStyleInfo name="Billing-style" showColumnStripes="0" showFirstColumn="1" showLastColumn="1" showRowStripes="1"/>
</table>
</file>

<file path=xl/tables/table4.xml><?xml version="1.0" encoding="utf-8"?>
<table xmlns="http://schemas.openxmlformats.org/spreadsheetml/2006/main" ref="A1:C4" displayName="Table4" name="Table4" id="4">
  <tableColumns count="3">
    <tableColumn name="Date" id="1"/>
    <tableColumn name="Total Patients" id="2"/>
    <tableColumn name="Total Revenue" id="3"/>
  </tableColumns>
  <tableStyleInfo name="Daily Revenue-style" showColumnStripes="0" showFirstColumn="1" showLastColumn="1" showRowStripes="1"/>
</table>
</file>

<file path=xl/tables/table5.xml><?xml version="1.0" encoding="utf-8"?>
<table xmlns="http://schemas.openxmlformats.org/spreadsheetml/2006/main" ref="A1:C9" displayName="Table5" name="Table5" id="5">
  <tableColumns count="3">
    <tableColumn name="Doctor Name" id="1"/>
    <tableColumn name="Total Patients" id="2"/>
    <tableColumn name="Total Revenue (Rs)" id="3"/>
  </tableColumns>
  <tableStyleInfo name="Sheet1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ht="22.5" customHeight="1">
      <c r="A2" s="3" t="s">
        <v>4</v>
      </c>
      <c r="B2" s="4" t="s">
        <v>5</v>
      </c>
      <c r="C2" s="4" t="s">
        <v>6</v>
      </c>
      <c r="D2" s="4">
        <v>1500.0</v>
      </c>
      <c r="E2" s="2"/>
      <c r="F2" s="2"/>
    </row>
    <row r="3" ht="22.5" customHeight="1">
      <c r="A3" s="3" t="s">
        <v>7</v>
      </c>
      <c r="B3" s="4" t="s">
        <v>8</v>
      </c>
      <c r="C3" s="4" t="s">
        <v>9</v>
      </c>
      <c r="D3" s="4">
        <v>1200.0</v>
      </c>
      <c r="E3" s="2"/>
      <c r="F3" s="2"/>
    </row>
    <row r="4" ht="22.5" customHeight="1">
      <c r="A4" s="3" t="s">
        <v>10</v>
      </c>
      <c r="B4" s="4" t="s">
        <v>11</v>
      </c>
      <c r="C4" s="4" t="s">
        <v>12</v>
      </c>
      <c r="D4" s="4">
        <v>1400.0</v>
      </c>
      <c r="E4" s="2"/>
      <c r="F4" s="2"/>
    </row>
    <row r="5" ht="22.5" customHeight="1">
      <c r="A5" s="3" t="s">
        <v>13</v>
      </c>
      <c r="B5" s="4" t="s">
        <v>14</v>
      </c>
      <c r="C5" s="4" t="s">
        <v>15</v>
      </c>
      <c r="D5" s="4">
        <v>1500.0</v>
      </c>
      <c r="E5" s="2"/>
      <c r="F5" s="2"/>
    </row>
    <row r="6" ht="22.5" customHeight="1">
      <c r="A6" s="3" t="s">
        <v>16</v>
      </c>
      <c r="B6" s="4" t="s">
        <v>17</v>
      </c>
      <c r="C6" s="4" t="s">
        <v>18</v>
      </c>
      <c r="D6" s="4">
        <v>1300.0</v>
      </c>
      <c r="E6" s="2"/>
      <c r="F6" s="2"/>
    </row>
    <row r="7" ht="22.5" customHeight="1">
      <c r="A7" s="3" t="s">
        <v>19</v>
      </c>
      <c r="B7" s="4" t="s">
        <v>20</v>
      </c>
      <c r="C7" s="4" t="s">
        <v>21</v>
      </c>
      <c r="D7" s="4">
        <v>1100.0</v>
      </c>
      <c r="E7" s="2"/>
      <c r="F7" s="2"/>
    </row>
    <row r="8" ht="22.5" customHeight="1">
      <c r="A8" s="3" t="s">
        <v>22</v>
      </c>
      <c r="B8" s="4" t="s">
        <v>23</v>
      </c>
      <c r="C8" s="4" t="s">
        <v>24</v>
      </c>
      <c r="D8" s="4">
        <v>1000.0</v>
      </c>
      <c r="E8" s="2"/>
      <c r="F8" s="2"/>
    </row>
    <row r="9" ht="22.5" customHeight="1">
      <c r="A9" s="3" t="s">
        <v>25</v>
      </c>
      <c r="B9" s="4" t="s">
        <v>26</v>
      </c>
      <c r="C9" s="4" t="s">
        <v>27</v>
      </c>
      <c r="D9" s="4">
        <v>1200.0</v>
      </c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E14" s="2"/>
      <c r="F14" s="2"/>
    </row>
    <row r="15">
      <c r="E15" s="2"/>
      <c r="F15" s="2"/>
    </row>
  </sheetData>
  <dataValidations>
    <dataValidation type="list" allowBlank="1" sqref="A2:A9">
      <formula1>"DOC01,DOC02,DOC03,DOC04,DOC05,DOC06,DOC07,DOC08"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5.63"/>
    <col customWidth="1" min="3" max="3" width="15.75"/>
    <col customWidth="1" min="4" max="4" width="22.25"/>
    <col customWidth="1" min="5" max="5" width="22.63"/>
    <col customWidth="1" min="6" max="6" width="17.88"/>
    <col customWidth="1" min="7" max="7" width="18.5"/>
    <col customWidth="1" min="8" max="8" width="10.38"/>
  </cols>
  <sheetData>
    <row r="1" ht="22.5" customHeight="1">
      <c r="A1" s="1" t="s">
        <v>28</v>
      </c>
      <c r="B1" s="1" t="s">
        <v>29</v>
      </c>
      <c r="C1" s="1" t="s">
        <v>0</v>
      </c>
      <c r="D1" s="1" t="s">
        <v>30</v>
      </c>
      <c r="E1" s="1" t="s">
        <v>31</v>
      </c>
      <c r="F1" s="1" t="s">
        <v>32</v>
      </c>
      <c r="G1" s="5" t="s">
        <v>33</v>
      </c>
      <c r="H1" s="5" t="s">
        <v>34</v>
      </c>
    </row>
    <row r="2" ht="22.5" customHeight="1">
      <c r="A2" s="3" t="s">
        <v>35</v>
      </c>
      <c r="B2" s="6" t="s">
        <v>36</v>
      </c>
      <c r="C2" s="3" t="s">
        <v>4</v>
      </c>
      <c r="D2" s="7">
        <v>46175.0</v>
      </c>
      <c r="E2" s="8">
        <v>0.4166666666666667</v>
      </c>
      <c r="F2" s="8">
        <v>0.4201388888888889</v>
      </c>
      <c r="G2" s="9">
        <f t="shared" ref="G2:G6" si="1">F2-E2</f>
        <v>0.003472222222</v>
      </c>
      <c r="H2" s="10" t="str">
        <f>IF(F2="","Missed",IF(F2=E2,"On Time","Late"))</f>
        <v>Late</v>
      </c>
    </row>
    <row r="3" ht="22.5" customHeight="1">
      <c r="A3" s="3" t="s">
        <v>37</v>
      </c>
      <c r="B3" s="6" t="s">
        <v>38</v>
      </c>
      <c r="C3" s="3" t="s">
        <v>7</v>
      </c>
      <c r="D3" s="7">
        <v>46175.0</v>
      </c>
      <c r="E3" s="8">
        <v>0.4375</v>
      </c>
      <c r="F3" s="8">
        <v>0.4375</v>
      </c>
      <c r="G3" s="9">
        <f t="shared" si="1"/>
        <v>0</v>
      </c>
      <c r="H3" s="10" t="str">
        <f>IF(F3="","Missed",IF(F3=E3," On Time","Late"))</f>
        <v> On Time</v>
      </c>
    </row>
    <row r="4" ht="22.5" customHeight="1">
      <c r="A4" s="3" t="s">
        <v>39</v>
      </c>
      <c r="B4" s="6" t="s">
        <v>40</v>
      </c>
      <c r="C4" s="3" t="s">
        <v>10</v>
      </c>
      <c r="D4" s="7">
        <v>46175.0</v>
      </c>
      <c r="E4" s="8">
        <v>0.4583333333333333</v>
      </c>
      <c r="F4" s="8">
        <v>0.46875</v>
      </c>
      <c r="G4" s="9">
        <f t="shared" si="1"/>
        <v>0.01041666667</v>
      </c>
      <c r="H4" s="10" t="str">
        <f>IF(G4=" ","Missed",IF(F4=E4,"On Time","Late"))</f>
        <v>Late</v>
      </c>
    </row>
    <row r="5" ht="22.5" customHeight="1">
      <c r="A5" s="3" t="s">
        <v>41</v>
      </c>
      <c r="B5" s="6" t="s">
        <v>42</v>
      </c>
      <c r="C5" s="3" t="s">
        <v>13</v>
      </c>
      <c r="D5" s="7">
        <v>46175.0</v>
      </c>
      <c r="E5" s="8">
        <v>0.4791666666666667</v>
      </c>
      <c r="F5" s="8">
        <v>0.4826388888888889</v>
      </c>
      <c r="G5" s="9">
        <f t="shared" si="1"/>
        <v>0.003472222222</v>
      </c>
      <c r="H5" s="10" t="str">
        <f>IF(F5="","Missed",IF(F5=E5,"On Time","Late"))</f>
        <v>Late</v>
      </c>
    </row>
    <row r="6" ht="22.5" customHeight="1">
      <c r="A6" s="3" t="s">
        <v>43</v>
      </c>
      <c r="B6" s="6" t="s">
        <v>44</v>
      </c>
      <c r="C6" s="3" t="s">
        <v>16</v>
      </c>
      <c r="D6" s="7">
        <v>46205.0</v>
      </c>
      <c r="E6" s="8">
        <v>0.4166666666666667</v>
      </c>
      <c r="F6" s="8">
        <v>0.4236111111111111</v>
      </c>
      <c r="G6" s="9">
        <f t="shared" si="1"/>
        <v>0.006944444444</v>
      </c>
      <c r="H6" s="10" t="str">
        <f>IF(F6="","Missed",IF(F6=E6," On Time","Late"))</f>
        <v>Late</v>
      </c>
    </row>
    <row r="7" ht="22.5" customHeight="1">
      <c r="A7" s="3" t="s">
        <v>45</v>
      </c>
      <c r="B7" s="6" t="s">
        <v>46</v>
      </c>
      <c r="C7" s="3" t="s">
        <v>19</v>
      </c>
      <c r="D7" s="7">
        <v>46205.0</v>
      </c>
      <c r="E7" s="8">
        <v>0.4375</v>
      </c>
      <c r="F7" s="8"/>
      <c r="G7" s="9"/>
      <c r="H7" s="10" t="str">
        <f>IF(G7="","Missed",IF(F7=E7,"On Time","Late"))</f>
        <v>Missed</v>
      </c>
    </row>
    <row r="8" ht="22.5" customHeight="1">
      <c r="A8" s="3" t="s">
        <v>47</v>
      </c>
      <c r="B8" s="6" t="s">
        <v>48</v>
      </c>
      <c r="C8" s="3" t="s">
        <v>22</v>
      </c>
      <c r="D8" s="7">
        <v>46205.0</v>
      </c>
      <c r="E8" s="8">
        <v>0.4583333333333333</v>
      </c>
      <c r="F8" s="8">
        <v>0.4618055555555556</v>
      </c>
      <c r="G8" s="9">
        <f t="shared" ref="G8:G11" si="2">F8-E8</f>
        <v>0.003472222222</v>
      </c>
      <c r="H8" s="10" t="str">
        <f>IF(F8="","Missed",IF(F8=E8,"On Time","Late"))</f>
        <v>Late</v>
      </c>
    </row>
    <row r="9" ht="22.5" customHeight="1">
      <c r="A9" s="3" t="s">
        <v>49</v>
      </c>
      <c r="B9" s="6" t="s">
        <v>50</v>
      </c>
      <c r="C9" s="3" t="s">
        <v>25</v>
      </c>
      <c r="D9" s="7">
        <v>46205.0</v>
      </c>
      <c r="E9" s="8">
        <v>0.4791666666666667</v>
      </c>
      <c r="F9" s="8">
        <v>0.4861111111111111</v>
      </c>
      <c r="G9" s="9">
        <f t="shared" si="2"/>
        <v>0.006944444444</v>
      </c>
      <c r="H9" s="10" t="str">
        <f>IF(F9="","Missed",IF(F9=E9," On Time","Late"))</f>
        <v>Late</v>
      </c>
    </row>
    <row r="10" ht="22.5" customHeight="1">
      <c r="A10" s="3" t="s">
        <v>51</v>
      </c>
      <c r="B10" s="6" t="s">
        <v>52</v>
      </c>
      <c r="C10" s="3" t="s">
        <v>10</v>
      </c>
      <c r="D10" s="7">
        <v>46236.0</v>
      </c>
      <c r="E10" s="8">
        <v>0.4166666666666667</v>
      </c>
      <c r="F10" s="8">
        <v>0.4166666666666667</v>
      </c>
      <c r="G10" s="9">
        <f t="shared" si="2"/>
        <v>0</v>
      </c>
      <c r="H10" s="10" t="str">
        <f>IF(G10=" ","Missed",IF(F10=E10,"On Time","Late"))</f>
        <v>On Time</v>
      </c>
    </row>
    <row r="11" ht="22.5" customHeight="1">
      <c r="A11" s="3" t="s">
        <v>53</v>
      </c>
      <c r="B11" s="6" t="s">
        <v>54</v>
      </c>
      <c r="C11" s="3" t="s">
        <v>10</v>
      </c>
      <c r="D11" s="7">
        <v>46236.0</v>
      </c>
      <c r="E11" s="8">
        <v>0.4375</v>
      </c>
      <c r="F11" s="8">
        <v>0.4375</v>
      </c>
      <c r="G11" s="9">
        <f t="shared" si="2"/>
        <v>0</v>
      </c>
      <c r="H11" s="10" t="str">
        <f>IF(F11="","Missed",IF(F11=E11,"On Time","Late"))</f>
        <v>On Time</v>
      </c>
    </row>
  </sheetData>
  <conditionalFormatting sqref="H2:H15">
    <cfRule type="cellIs" dxfId="5" priority="1" operator="equal">
      <formula>"Missed"</formula>
    </cfRule>
  </conditionalFormatting>
  <conditionalFormatting sqref="H2:H15">
    <cfRule type="cellIs" dxfId="6" priority="2" operator="equal">
      <formula>"Late"</formula>
    </cfRule>
  </conditionalFormatting>
  <conditionalFormatting sqref="H2:H15">
    <cfRule type="containsText" dxfId="7" priority="3" operator="containsText" text="On Time">
      <formula>NOT(ISERROR(SEARCH(("On Time"),(H2))))</formula>
    </cfRule>
  </conditionalFormatting>
  <dataValidations>
    <dataValidation type="custom" allowBlank="1" showDropDown="1" sqref="E2:G11">
      <formula1>OR(TIMEVALUE(TEXT(E2, "hh:mm:ss"))=E2, AND(ISNUMBER(E2), LEFT(CELL("format", E2))="D"))</formula1>
    </dataValidation>
    <dataValidation type="list" allowBlank="1" sqref="C2:C11">
      <formula1>"DOC01,DOC04,DOC07,DOC03,DOC06,DOC02,DOC05,DOC08"</formula1>
    </dataValidation>
    <dataValidation type="custom" allowBlank="1" showDropDown="1" sqref="D2:D11">
      <formula1>OR(NOT(ISERROR(DATEVALUE(D2))), AND(ISNUMBER(D2), LEFT(CELL("format", D2))="D"))</formula1>
    </dataValidation>
    <dataValidation type="list" allowBlank="1" sqref="A2:A11">
      <formula1>"A0001,A0002,A0003,A0004,A0005,A0006,A0007,A0008,A0009,A0010,A0011,A0012,A0013,A0014,A0015"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22.25"/>
    <col customWidth="1" min="3" max="3" width="18.88"/>
    <col customWidth="1" min="4" max="4" width="15.75"/>
    <col customWidth="1" min="5" max="5" width="16.88"/>
  </cols>
  <sheetData>
    <row r="1" ht="22.5" customHeight="1">
      <c r="A1" s="1" t="s">
        <v>28</v>
      </c>
      <c r="B1" s="1" t="s">
        <v>30</v>
      </c>
      <c r="C1" s="1" t="s">
        <v>29</v>
      </c>
      <c r="D1" s="1" t="s">
        <v>0</v>
      </c>
      <c r="E1" s="1" t="s">
        <v>55</v>
      </c>
      <c r="F1" s="1" t="s">
        <v>56</v>
      </c>
    </row>
    <row r="2" ht="22.5" customHeight="1">
      <c r="A2" s="3" t="s">
        <v>35</v>
      </c>
      <c r="B2" s="11">
        <v>46175.0</v>
      </c>
      <c r="C2" s="12" t="str">
        <f>VLOOKUP(A2,Table2[#ALL],2)</f>
        <v>Ali Khan</v>
      </c>
      <c r="D2" s="3" t="s">
        <v>4</v>
      </c>
      <c r="E2" s="13">
        <f>VLOOKUP(D2,Table1[],4)</f>
        <v>1500</v>
      </c>
      <c r="F2" s="14">
        <f t="shared" ref="F2:F6" si="1">E2</f>
        <v>1500</v>
      </c>
    </row>
    <row r="3" ht="22.5" customHeight="1">
      <c r="A3" s="3" t="s">
        <v>37</v>
      </c>
      <c r="B3" s="11">
        <v>46175.0</v>
      </c>
      <c r="C3" s="12" t="str">
        <f>VLOOKUP(A3,Table2[#ALL],2)</f>
        <v>Sara Ahmed</v>
      </c>
      <c r="D3" s="3" t="s">
        <v>7</v>
      </c>
      <c r="E3" s="13">
        <f>VLOOKUP(D3,Table1[],4)</f>
        <v>1200</v>
      </c>
      <c r="F3" s="14">
        <f t="shared" si="1"/>
        <v>1200</v>
      </c>
    </row>
    <row r="4" ht="22.5" customHeight="1">
      <c r="A4" s="3" t="s">
        <v>39</v>
      </c>
      <c r="B4" s="11">
        <v>46175.0</v>
      </c>
      <c r="C4" s="12" t="str">
        <f>VLOOKUP(A4,Table2[#ALL],2)</f>
        <v>Usman Raza</v>
      </c>
      <c r="D4" s="3" t="s">
        <v>10</v>
      </c>
      <c r="E4" s="13">
        <f>VLOOKUP(D4,Table1[],4)</f>
        <v>1400</v>
      </c>
      <c r="F4" s="14">
        <f t="shared" si="1"/>
        <v>1400</v>
      </c>
    </row>
    <row r="5" ht="22.5" customHeight="1">
      <c r="A5" s="3" t="s">
        <v>41</v>
      </c>
      <c r="B5" s="11">
        <v>46175.0</v>
      </c>
      <c r="C5" s="12" t="str">
        <f>VLOOKUP(A5,Table2[#ALL],2)</f>
        <v>Ayesha Noor</v>
      </c>
      <c r="D5" s="3" t="s">
        <v>13</v>
      </c>
      <c r="E5" s="13">
        <f>VLOOKUP(D5,Table1[],4)</f>
        <v>1500</v>
      </c>
      <c r="F5" s="14">
        <f t="shared" si="1"/>
        <v>1500</v>
      </c>
    </row>
    <row r="6" ht="22.5" customHeight="1">
      <c r="A6" s="3" t="s">
        <v>43</v>
      </c>
      <c r="B6" s="11">
        <v>46205.0</v>
      </c>
      <c r="C6" s="12" t="str">
        <f>VLOOKUP(A6,Table2[#ALL],2)</f>
        <v>Hamza Ali</v>
      </c>
      <c r="D6" s="3" t="s">
        <v>16</v>
      </c>
      <c r="E6" s="13">
        <f>VLOOKUP(D6,Table1[],4)</f>
        <v>1300</v>
      </c>
      <c r="F6" s="14">
        <f t="shared" si="1"/>
        <v>1300</v>
      </c>
    </row>
    <row r="7" ht="22.5" customHeight="1">
      <c r="A7" s="3" t="s">
        <v>45</v>
      </c>
      <c r="B7" s="11">
        <v>46205.0</v>
      </c>
      <c r="C7" s="12" t="str">
        <f>VLOOKUP(A7,Table2[#ALL],2)</f>
        <v>Hira Khan</v>
      </c>
      <c r="D7" s="3" t="s">
        <v>19</v>
      </c>
      <c r="E7" s="13">
        <f>VLOOKUP(D7,Table1[],4)</f>
        <v>1100</v>
      </c>
      <c r="F7" s="15"/>
    </row>
    <row r="8" ht="22.5" customHeight="1">
      <c r="A8" s="3" t="s">
        <v>47</v>
      </c>
      <c r="B8" s="11">
        <v>46205.0</v>
      </c>
      <c r="C8" s="12" t="str">
        <f>VLOOKUP(A8,Table2[#ALL],2)</f>
        <v>Bilal Ahmed</v>
      </c>
      <c r="D8" s="3" t="s">
        <v>22</v>
      </c>
      <c r="E8" s="13">
        <f>VLOOKUP(D8,Table1[],4)</f>
        <v>1000</v>
      </c>
      <c r="F8" s="14">
        <f t="shared" ref="F8:F11" si="2">E8</f>
        <v>1000</v>
      </c>
    </row>
    <row r="9" ht="22.5" customHeight="1">
      <c r="A9" s="3" t="s">
        <v>49</v>
      </c>
      <c r="B9" s="11">
        <v>46205.0</v>
      </c>
      <c r="C9" s="12" t="str">
        <f>VLOOKUP(A9,Table2[#ALL],2)</f>
        <v>Sana Iqbal</v>
      </c>
      <c r="D9" s="3" t="s">
        <v>25</v>
      </c>
      <c r="E9" s="13">
        <f>VLOOKUP(D9,Table1[],4)</f>
        <v>1200</v>
      </c>
      <c r="F9" s="14">
        <f t="shared" si="2"/>
        <v>1200</v>
      </c>
    </row>
    <row r="10" ht="22.5" customHeight="1">
      <c r="A10" s="3" t="s">
        <v>51</v>
      </c>
      <c r="B10" s="11">
        <v>46236.0</v>
      </c>
      <c r="C10" s="12" t="str">
        <f>VLOOKUP(A10,Table2[#ALL],2)</f>
        <v>Farhan Malik</v>
      </c>
      <c r="D10" s="3" t="s">
        <v>10</v>
      </c>
      <c r="E10" s="13">
        <f>VLOOKUP(D10,Table1[],4)</f>
        <v>1400</v>
      </c>
      <c r="F10" s="14">
        <f t="shared" si="2"/>
        <v>1400</v>
      </c>
    </row>
    <row r="11" ht="22.5" customHeight="1">
      <c r="A11" s="3" t="s">
        <v>53</v>
      </c>
      <c r="B11" s="11">
        <v>46236.0</v>
      </c>
      <c r="C11" s="12" t="str">
        <f>VLOOKUP(A11,Table2[#ALL],2)</f>
        <v>Nadia Hussain</v>
      </c>
      <c r="D11" s="3" t="s">
        <v>10</v>
      </c>
      <c r="E11" s="13">
        <f>VLOOKUP(D11,Table1[],4)</f>
        <v>1400</v>
      </c>
      <c r="F11" s="14">
        <f t="shared" si="2"/>
        <v>1400</v>
      </c>
    </row>
  </sheetData>
  <dataValidations>
    <dataValidation type="list" allowBlank="1" sqref="A2:A11">
      <formula1>"A0001,A0002,A0003,A0004,A0005,A0006,A0007,A0008,A0009,A0010"</formula1>
    </dataValidation>
    <dataValidation type="list" allowBlank="1" sqref="D2:D11">
      <formula1>"DOC01,DOC04,DOC07,DOC03,DOC06,DOC02,DOC05,DOC08"</formula1>
    </dataValidation>
    <dataValidation type="custom" allowBlank="1" showDropDown="1" sqref="B2:B11">
      <formula1>OR(NOT(ISERROR(DATEVALUE(B2))), AND(ISNUMBER(B2), LEFT(CELL("format", B2))="D"))</formula1>
    </dataValidation>
    <dataValidation type="custom" allowBlank="1" showDropDown="1" sqref="E2:E11">
      <formula1>AND(ISNUMBER(E2),(NOT(OR(NOT(ISERROR(DATEVALUE(E2))), AND(ISNUMBER(E2), LEFT(CELL("format", E2))="D")))))</formula1>
    </dataValidation>
    <dataValidation allowBlank="1" showDropDown="1" sqref="C2:C1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  <col customWidth="1" min="3" max="3" width="16.13"/>
  </cols>
  <sheetData>
    <row r="1" ht="22.5" customHeight="1">
      <c r="A1" s="1" t="s">
        <v>57</v>
      </c>
      <c r="B1" s="1" t="s">
        <v>58</v>
      </c>
      <c r="C1" s="1" t="s">
        <v>59</v>
      </c>
    </row>
    <row r="2" ht="22.5" customHeight="1">
      <c r="A2" s="7">
        <v>46175.0</v>
      </c>
      <c r="B2" s="10">
        <f>COUNTIF(Table2[Appointment Date],Billing!B3)</f>
        <v>4</v>
      </c>
      <c r="C2" s="10">
        <f>SUMIF(Table3[Appointment Date],A2,Table3[Total Bill])</f>
        <v>5600</v>
      </c>
    </row>
    <row r="3" ht="22.5" customHeight="1">
      <c r="A3" s="7">
        <v>46205.0</v>
      </c>
      <c r="B3" s="6">
        <f>COUNTIF(Table2[Appointment Date],Billing!B6)</f>
        <v>4</v>
      </c>
      <c r="C3" s="10">
        <f>SUMIF(Table3[Appointment Date],A3,Table3[Total Bill])</f>
        <v>3500</v>
      </c>
    </row>
    <row r="4" ht="22.5" customHeight="1">
      <c r="A4" s="7">
        <v>46236.0</v>
      </c>
      <c r="B4" s="10">
        <f>COUNTIF(Table2[Appointment Date],Billing!B10)</f>
        <v>2</v>
      </c>
      <c r="C4" s="10">
        <f>SUMIF(Table3[Appointment Date],A4,Table3[Total Bill])</f>
        <v>2800</v>
      </c>
    </row>
    <row r="8">
      <c r="D8" s="16" t="str">
        <f>VLOOKUP(Billing!A2,Table3[],3)</f>
        <v>Ali Khan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5.88"/>
    <col customWidth="1" min="3" max="3" width="19.63"/>
  </cols>
  <sheetData>
    <row r="1" ht="22.5" customHeight="1">
      <c r="A1" s="1" t="s">
        <v>1</v>
      </c>
      <c r="B1" s="1" t="s">
        <v>58</v>
      </c>
      <c r="C1" s="1" t="s">
        <v>60</v>
      </c>
    </row>
    <row r="2" ht="22.5" customHeight="1">
      <c r="A2" s="17" t="str">
        <f>VLOOKUP(Billing!A2,Table3[],3)</f>
        <v>Ali Khan</v>
      </c>
      <c r="B2" s="18">
        <f>COUNTIF(Table3[Doctor ID],Billing!D2)</f>
        <v>1</v>
      </c>
      <c r="C2" s="1">
        <f>SUMIF(Table3[Doctor ID],Billing!D2,Table3[Total Bill])</f>
        <v>1500</v>
      </c>
    </row>
    <row r="3" ht="22.5" customHeight="1">
      <c r="A3" s="17" t="str">
        <f>VLOOKUP(Billing!A3,Table3[],3)</f>
        <v>Sara Ahmed</v>
      </c>
      <c r="B3" s="18">
        <f>COUNTIF(Table3[Doctor ID],Billing!D3)</f>
        <v>1</v>
      </c>
      <c r="C3" s="1">
        <f>SUMIF(Table3[Doctor ID],Billing!D3,Table3[Total Bill])</f>
        <v>1200</v>
      </c>
    </row>
    <row r="4" ht="22.5" customHeight="1">
      <c r="A4" s="17" t="str">
        <f>VLOOKUP(Billing!A4,Table3[],3)</f>
        <v>Usman Raza</v>
      </c>
      <c r="B4" s="18">
        <f>COUNTIF(Table3[Doctor ID],Billing!D4)</f>
        <v>3</v>
      </c>
      <c r="C4" s="1">
        <f>SUMIF(Table3[Doctor ID],Billing!D4,Table3[Total Bill])</f>
        <v>4200</v>
      </c>
    </row>
    <row r="5" ht="22.5" customHeight="1">
      <c r="A5" s="17" t="str">
        <f>VLOOKUP(Billing!A5,Table3[],3)</f>
        <v>Ayesha Noor</v>
      </c>
      <c r="B5" s="18">
        <f>COUNTIF(Table3[Doctor ID],Billing!D5)</f>
        <v>1</v>
      </c>
      <c r="C5" s="1">
        <f>SUMIF(Table3[Doctor ID],Billing!D5,Table3[Total Bill])</f>
        <v>1500</v>
      </c>
    </row>
    <row r="6" ht="22.5" customHeight="1">
      <c r="A6" s="17" t="str">
        <f>VLOOKUP(Billing!A6,Table3[],3)</f>
        <v>Hamza Ali</v>
      </c>
      <c r="B6" s="18">
        <f>COUNTIF(Table3[Doctor ID],Billing!D6)</f>
        <v>1</v>
      </c>
      <c r="C6" s="1">
        <f>SUMIF(Table3[Doctor ID],Billing!D6,Table3[Total Bill])</f>
        <v>1300</v>
      </c>
    </row>
    <row r="7" ht="22.5" customHeight="1">
      <c r="A7" s="17" t="str">
        <f>VLOOKUP(Billing!A7,Table3[],3)</f>
        <v>Hira Khan</v>
      </c>
      <c r="B7" s="18">
        <f>COUNTIF(Table3[Doctor ID],Billing!D7)</f>
        <v>1</v>
      </c>
      <c r="C7" s="1">
        <f>SUMIF(Table3[Doctor ID],Billing!D7,Table3[Total Bill])</f>
        <v>0</v>
      </c>
    </row>
    <row r="8" ht="22.5" customHeight="1">
      <c r="A8" s="17" t="str">
        <f>VLOOKUP(Billing!A8,Table3[],3)</f>
        <v>Bilal Ahmed</v>
      </c>
      <c r="B8" s="18">
        <f>COUNTIF(Table3[Doctor ID],Billing!D8)</f>
        <v>1</v>
      </c>
      <c r="C8" s="1">
        <f>SUMIF(Table3[Doctor ID],Billing!D8,Table3[Total Bill])</f>
        <v>1000</v>
      </c>
    </row>
    <row r="9" ht="22.5" customHeight="1">
      <c r="A9" s="17" t="str">
        <f>VLOOKUP(Billing!A9,Table3[],3)</f>
        <v>Sana Iqbal</v>
      </c>
      <c r="B9" s="18">
        <f>COUNTIF(Table3[Doctor ID],Billing!D9)</f>
        <v>1</v>
      </c>
      <c r="C9" s="1">
        <f>SUMIF(Table3[Doctor ID],Billing!D9,Table3[Total Bill])</f>
        <v>1200</v>
      </c>
    </row>
  </sheetData>
  <drawing r:id="rId1"/>
  <tableParts count="1">
    <tablePart r:id="rId3"/>
  </tableParts>
</worksheet>
</file>